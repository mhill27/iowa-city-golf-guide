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2B1B8906E0C8496F/Documents/"/>
    </mc:Choice>
  </mc:AlternateContent>
  <xr:revisionPtr revIDLastSave="1" documentId="8_{8CEB75D4-A049-42D2-A8C8-7318E1F6A661}" xr6:coauthVersionLast="47" xr6:coauthVersionMax="47" xr10:uidLastSave="{92FEB412-E491-4D11-9B81-68A9A5BEE7E5}"/>
  <bookViews>
    <workbookView xWindow="780" yWindow="780" windowWidth="15375" windowHeight="7575" xr2:uid="{00000000-000D-0000-FFFF-FFFF00000000}"/>
  </bookViews>
  <sheets>
    <sheet name="AI Visitor Trial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B4" i="2"/>
  <c r="C3" i="2"/>
  <c r="C5" i="2" s="1"/>
  <c r="B3" i="2"/>
  <c r="B5" i="2" s="1"/>
  <c r="C2" i="2"/>
  <c r="B2" i="2"/>
  <c r="D5" i="2" l="1"/>
  <c r="B12" i="2" s="1"/>
</calcChain>
</file>

<file path=xl/sharedStrings.xml><?xml version="1.0" encoding="utf-8"?>
<sst xmlns="http://schemas.openxmlformats.org/spreadsheetml/2006/main" count="524" uniqueCount="69">
  <si>
    <t>Trial</t>
  </si>
  <si>
    <t>Assigned Version</t>
  </si>
  <si>
    <t>Outcome (YES/NO)</t>
  </si>
  <si>
    <t>One-sentence reason</t>
  </si>
  <si>
    <t>Full AI response</t>
  </si>
  <si>
    <t>Model + version</t>
  </si>
  <si>
    <t>Run date</t>
  </si>
  <si>
    <t>B</t>
  </si>
  <si>
    <t>YES</t>
  </si>
  <si>
    <t>The guide explains several ways to keep a golf outing affordable.</t>
  </si>
  <si>
    <t>YES — The guide explains several ways to keep a golf outing affordable.</t>
  </si>
  <si>
    <t>GPT-6</t>
  </si>
  <si>
    <t>A</t>
  </si>
  <si>
    <t>NO</t>
  </si>
  <si>
    <t>It doesn't verify any actual Iowa City golf course discounts.</t>
  </si>
  <si>
    <t>NO — It doesn't verify any actual Iowa City golf course discounts.</t>
  </si>
  <si>
    <t>It does not list confirmed tee times or current course rates.</t>
  </si>
  <si>
    <t>NO — It does not list confirmed tee times or current course rates.</t>
  </si>
  <si>
    <t>The walking and nine-hole suggestions fit a student budget.</t>
  </si>
  <si>
    <t>YES — The walking and nine-hole suggestions fit a student budget.</t>
  </si>
  <si>
    <t>The advice about off-peak tee times makes the guide useful.</t>
  </si>
  <si>
    <t>YES — The advice about off-peak tee times makes the guide useful.</t>
  </si>
  <si>
    <t>The student savings tips would help me plan a low-cost round.</t>
  </si>
  <si>
    <t>YES — The student savings tips would help me plan a low-cost round.</t>
  </si>
  <si>
    <t>I would want real local promotions before choosing a course.</t>
  </si>
  <si>
    <t>NO — I would want real local promotions before choosing a course.</t>
  </si>
  <si>
    <t>It gives broad advice but doesn't establish today's lowest-priced options.</t>
  </si>
  <si>
    <t>NO — It gives broad advice but doesn't establish today's lowest-priced options.</t>
  </si>
  <si>
    <t>The general tips are useful but not enough to select a specific facility.</t>
  </si>
  <si>
    <t>NO — The general tips are useful but not enough to select a specific facility.</t>
  </si>
  <si>
    <t>It addresses the tradeoff between practice, short rounds, and full rounds.</t>
  </si>
  <si>
    <t>YES — It addresses the tradeoff between practice, short rounds, and full rounds.</t>
  </si>
  <si>
    <t>It gives straightforward ideas for spending less on a golf day.</t>
  </si>
  <si>
    <t>YES — It gives straightforward ideas for spending less on a golf day.</t>
  </si>
  <si>
    <t>It helps me think through a golf outing before deciding what to spend.</t>
  </si>
  <si>
    <t>YES — It helps me think through a golf outing before deciding what to spend.</t>
  </si>
  <si>
    <t>The budget examples give me a useful starting point for comparing options.</t>
  </si>
  <si>
    <t>YES — The budget examples give me a useful starting point for comparing options.</t>
  </si>
  <si>
    <t>I need concrete booking details rather than illustrative budgets.</t>
  </si>
  <si>
    <t>NO — I need concrete booking details rather than illustrative budgets.</t>
  </si>
  <si>
    <t>Without verified course information, I would use another source.</t>
  </si>
  <si>
    <t>NO — Without verified course information, I would use another source.</t>
  </si>
  <si>
    <t>The page highlights several practical ways to reduce expenses.</t>
  </si>
  <si>
    <t>YES — The page highlights several practical ways to reduce expenses.</t>
  </si>
  <si>
    <t>I would use its low-cost practice and equipment suggestions.</t>
  </si>
  <si>
    <t>YES — I would use its low-cost practice and equipment suggestions.</t>
  </si>
  <si>
    <t>The examples are fictional, so I would need verified local prices first.</t>
  </si>
  <si>
    <t>NO — The examples are fictional, so I would need verified local prices first.</t>
  </si>
  <si>
    <t>I could not compare real courses with the information provided.</t>
  </si>
  <si>
    <t>NO — I could not compare real courses with the information provided.</t>
  </si>
  <si>
    <t>The site provides sample costs but no current reservations or prices.</t>
  </si>
  <si>
    <t>NO — The site provides sample costs but no current reservations or prices.</t>
  </si>
  <si>
    <t>A/B TEST SUMMARY</t>
  </si>
  <si>
    <t>Version A</t>
  </si>
  <si>
    <t>Version B</t>
  </si>
  <si>
    <t>Difference B − A</t>
  </si>
  <si>
    <t>Assigned trials</t>
  </si>
  <si>
    <t>YES responses</t>
  </si>
  <si>
    <t>Recorded trials</t>
  </si>
  <si>
    <t>YES rate</t>
  </si>
  <si>
    <t>EXPERIMENT RECORD</t>
  </si>
  <si>
    <t>Trial date reported by researcher: October 29, 2026.</t>
  </si>
  <si>
    <t>Results calculated from 100 recorded worksheet rows. Retain original AI outputs and prompts with submission.</t>
  </si>
  <si>
    <t>SUMMARY / INTERPRETATION</t>
  </si>
  <si>
    <t>Recorded difference (percentage points)</t>
  </si>
  <si>
    <t>Statistical note</t>
  </si>
  <si>
    <t>Illustrative two-sided two-proportion z-test: p ≈ 0.081; not significant at 0.05.</t>
  </si>
  <si>
    <t>Limitations</t>
  </si>
  <si>
    <t>AI visitor responses measure simulated intentions, not actual customer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</si>
</sst>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yyyy\-mm\-dd"/>
  </numFmts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rgb="FF000000"/>
      <name val="Carlito"/>
    </font>
    <font>
      <b/>
      <sz val="11"/>
      <name val="Carlito"/>
    </font>
    <font>
      <b/>
      <sz val="11"/>
      <color rgb="FF133C33"/>
      <name val="Carlito"/>
    </font>
    <font>
      <b/>
      <sz val="11"/>
      <color rgb="FF92400E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33C33"/>
      </patternFill>
    </fill>
    <fill>
      <patternFill patternType="solid">
        <fgColor rgb="FF133C33"/>
      </patternFill>
    </fill>
    <fill>
      <patternFill patternType="solid">
        <fgColor rgb="FFE8F0E9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1"/>
    <xf numFmtId="0" fontId="2" fillId="0" borderId="1"/>
  </cellStyleXfs>
  <cellXfs count="11">
    <xf numFmtId="0" fontId="0" fillId="0" borderId="0" xfId="0"/>
    <xf numFmtId="0" fontId="1" fillId="2" borderId="0" xfId="0" applyFont="1" applyFill="1"/>
    <xf numFmtId="0" fontId="2" fillId="0" borderId="1" xfId="2"/>
    <xf numFmtId="0" fontId="3" fillId="0" borderId="1" xfId="0" applyFont="1" applyBorder="1"/>
    <xf numFmtId="165" fontId="0" fillId="0" borderId="0" xfId="0" applyNumberFormat="1"/>
    <xf numFmtId="0" fontId="1" fillId="3" borderId="0" xfId="0" applyFont="1" applyFill="1"/>
    <xf numFmtId="0" fontId="4" fillId="0" borderId="0" xfId="0" applyFont="1"/>
    <xf numFmtId="164" fontId="5" fillId="4" borderId="0" xfId="0" applyNumberFormat="1" applyFont="1" applyFill="1"/>
    <xf numFmtId="0" fontId="0" fillId="0" borderId="0" xfId="0" applyAlignment="1">
      <alignment wrapText="1"/>
    </xf>
    <xf numFmtId="0" fontId="6" fillId="5" borderId="0" xfId="0" applyFont="1" applyFill="1" applyAlignment="1">
      <alignment wrapText="1"/>
    </xf>
    <xf numFmtId="166" fontId="3" fillId="0" borderId="0" xfId="0" applyNumberFormat="1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pane ySplit="1" topLeftCell="A2" activePane="bottomLeft" state="frozen"/>
      <selection pane="bottomLeft"/>
    </sheetView>
  </sheetViews>
  <sheetFormatPr defaultRowHeight="14.25"/>
  <cols>
    <col min="1" max="1" width="10" customWidth="1"/>
    <col min="2" max="2" width="21" customWidth="1"/>
    <col min="3" max="3" width="22" customWidth="1"/>
    <col min="4" max="4" width="52" customWidth="1"/>
    <col min="5" max="5" width="65" customWidth="1"/>
    <col min="6" max="6" width="23" customWidth="1"/>
    <col min="7" max="7" width="18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s="2" t="s">
        <v>8</v>
      </c>
      <c r="D2" s="2" t="s">
        <v>9</v>
      </c>
      <c r="E2" s="3" t="s">
        <v>10</v>
      </c>
      <c r="F2" s="3" t="s">
        <v>11</v>
      </c>
      <c r="G2" s="10">
        <v>46324</v>
      </c>
    </row>
    <row r="3" spans="1:7">
      <c r="A3">
        <v>2</v>
      </c>
      <c r="B3" t="s">
        <v>12</v>
      </c>
      <c r="C3" s="2" t="s">
        <v>13</v>
      </c>
      <c r="D3" s="2" t="s">
        <v>14</v>
      </c>
      <c r="E3" s="3" t="s">
        <v>15</v>
      </c>
      <c r="F3" s="3" t="s">
        <v>11</v>
      </c>
      <c r="G3" s="10">
        <v>46324</v>
      </c>
    </row>
    <row r="4" spans="1:7">
      <c r="A4">
        <v>3</v>
      </c>
      <c r="B4" t="s">
        <v>12</v>
      </c>
      <c r="C4" s="2" t="s">
        <v>13</v>
      </c>
      <c r="D4" s="2" t="s">
        <v>16</v>
      </c>
      <c r="E4" s="3" t="s">
        <v>17</v>
      </c>
      <c r="F4" s="3" t="s">
        <v>11</v>
      </c>
      <c r="G4" s="10">
        <v>46324</v>
      </c>
    </row>
    <row r="5" spans="1:7">
      <c r="A5">
        <v>4</v>
      </c>
      <c r="B5" t="s">
        <v>7</v>
      </c>
      <c r="C5" s="2" t="s">
        <v>8</v>
      </c>
      <c r="D5" s="2" t="s">
        <v>18</v>
      </c>
      <c r="E5" s="3" t="s">
        <v>19</v>
      </c>
      <c r="F5" s="3" t="s">
        <v>11</v>
      </c>
      <c r="G5" s="10">
        <v>46324</v>
      </c>
    </row>
    <row r="6" spans="1:7">
      <c r="A6">
        <v>5</v>
      </c>
      <c r="B6" t="s">
        <v>12</v>
      </c>
      <c r="C6" s="2" t="s">
        <v>8</v>
      </c>
      <c r="D6" s="2" t="s">
        <v>20</v>
      </c>
      <c r="E6" s="3" t="s">
        <v>21</v>
      </c>
      <c r="F6" s="3" t="s">
        <v>11</v>
      </c>
      <c r="G6" s="10">
        <v>46324</v>
      </c>
    </row>
    <row r="7" spans="1:7">
      <c r="A7">
        <v>6</v>
      </c>
      <c r="B7" t="s">
        <v>12</v>
      </c>
      <c r="C7" s="2" t="s">
        <v>8</v>
      </c>
      <c r="D7" s="2" t="s">
        <v>22</v>
      </c>
      <c r="E7" s="3" t="s">
        <v>23</v>
      </c>
      <c r="F7" s="3" t="s">
        <v>11</v>
      </c>
      <c r="G7" s="10">
        <v>46324</v>
      </c>
    </row>
    <row r="8" spans="1:7">
      <c r="A8">
        <v>7</v>
      </c>
      <c r="B8" t="s">
        <v>7</v>
      </c>
      <c r="C8" s="2" t="s">
        <v>13</v>
      </c>
      <c r="D8" s="2" t="s">
        <v>24</v>
      </c>
      <c r="E8" s="3" t="s">
        <v>25</v>
      </c>
      <c r="F8" s="3" t="s">
        <v>11</v>
      </c>
      <c r="G8" s="10">
        <v>46324</v>
      </c>
    </row>
    <row r="9" spans="1:7">
      <c r="A9">
        <v>8</v>
      </c>
      <c r="B9" t="s">
        <v>7</v>
      </c>
      <c r="C9" s="2" t="s">
        <v>13</v>
      </c>
      <c r="D9" s="2" t="s">
        <v>26</v>
      </c>
      <c r="E9" s="3" t="s">
        <v>27</v>
      </c>
      <c r="F9" s="3" t="s">
        <v>11</v>
      </c>
      <c r="G9" s="10">
        <v>46324</v>
      </c>
    </row>
    <row r="10" spans="1:7">
      <c r="A10">
        <v>9</v>
      </c>
      <c r="B10" t="s">
        <v>12</v>
      </c>
      <c r="C10" s="2" t="s">
        <v>13</v>
      </c>
      <c r="D10" s="2" t="s">
        <v>28</v>
      </c>
      <c r="E10" s="3" t="s">
        <v>29</v>
      </c>
      <c r="F10" s="3" t="s">
        <v>11</v>
      </c>
      <c r="G10" s="10">
        <v>46324</v>
      </c>
    </row>
    <row r="11" spans="1:7">
      <c r="A11">
        <v>10</v>
      </c>
      <c r="B11" t="s">
        <v>12</v>
      </c>
      <c r="C11" s="2" t="s">
        <v>8</v>
      </c>
      <c r="D11" s="2" t="s">
        <v>9</v>
      </c>
      <c r="E11" s="3" t="s">
        <v>10</v>
      </c>
      <c r="F11" s="3" t="s">
        <v>11</v>
      </c>
      <c r="G11" s="10">
        <v>46324</v>
      </c>
    </row>
    <row r="12" spans="1:7">
      <c r="A12">
        <v>11</v>
      </c>
      <c r="B12" t="s">
        <v>12</v>
      </c>
      <c r="C12" s="2" t="s">
        <v>8</v>
      </c>
      <c r="D12" s="2" t="s">
        <v>30</v>
      </c>
      <c r="E12" s="3" t="s">
        <v>31</v>
      </c>
      <c r="F12" s="3" t="s">
        <v>11</v>
      </c>
      <c r="G12" s="10">
        <v>46324</v>
      </c>
    </row>
    <row r="13" spans="1:7">
      <c r="A13">
        <v>12</v>
      </c>
      <c r="B13" t="s">
        <v>12</v>
      </c>
      <c r="C13" s="2" t="s">
        <v>8</v>
      </c>
      <c r="D13" s="2" t="s">
        <v>32</v>
      </c>
      <c r="E13" s="3" t="s">
        <v>33</v>
      </c>
      <c r="F13" s="3" t="s">
        <v>11</v>
      </c>
      <c r="G13" s="10">
        <v>46324</v>
      </c>
    </row>
    <row r="14" spans="1:7">
      <c r="A14">
        <v>13</v>
      </c>
      <c r="B14" t="s">
        <v>7</v>
      </c>
      <c r="C14" s="2" t="s">
        <v>8</v>
      </c>
      <c r="D14" s="2" t="s">
        <v>32</v>
      </c>
      <c r="E14" s="3" t="s">
        <v>33</v>
      </c>
      <c r="F14" s="3" t="s">
        <v>11</v>
      </c>
      <c r="G14" s="10">
        <v>46324</v>
      </c>
    </row>
    <row r="15" spans="1:7">
      <c r="A15">
        <v>14</v>
      </c>
      <c r="B15" t="s">
        <v>7</v>
      </c>
      <c r="C15" s="2" t="s">
        <v>13</v>
      </c>
      <c r="D15" s="2" t="s">
        <v>16</v>
      </c>
      <c r="E15" s="3" t="s">
        <v>17</v>
      </c>
      <c r="F15" s="3" t="s">
        <v>11</v>
      </c>
      <c r="G15" s="10">
        <v>46324</v>
      </c>
    </row>
    <row r="16" spans="1:7">
      <c r="A16">
        <v>15</v>
      </c>
      <c r="B16" t="s">
        <v>12</v>
      </c>
      <c r="C16" s="2" t="s">
        <v>8</v>
      </c>
      <c r="D16" s="2" t="s">
        <v>20</v>
      </c>
      <c r="E16" s="3" t="s">
        <v>21</v>
      </c>
      <c r="F16" s="3" t="s">
        <v>11</v>
      </c>
      <c r="G16" s="10">
        <v>46324</v>
      </c>
    </row>
    <row r="17" spans="1:7">
      <c r="A17">
        <v>16</v>
      </c>
      <c r="B17" t="s">
        <v>12</v>
      </c>
      <c r="C17" s="2" t="s">
        <v>8</v>
      </c>
      <c r="D17" s="2" t="s">
        <v>22</v>
      </c>
      <c r="E17" s="3" t="s">
        <v>23</v>
      </c>
      <c r="F17" s="3" t="s">
        <v>11</v>
      </c>
      <c r="G17" s="10">
        <v>46324</v>
      </c>
    </row>
    <row r="18" spans="1:7">
      <c r="A18">
        <v>17</v>
      </c>
      <c r="B18" t="s">
        <v>7</v>
      </c>
      <c r="C18" s="2" t="s">
        <v>8</v>
      </c>
      <c r="D18" s="2" t="s">
        <v>22</v>
      </c>
      <c r="E18" s="3" t="s">
        <v>23</v>
      </c>
      <c r="F18" s="3" t="s">
        <v>11</v>
      </c>
      <c r="G18" s="10">
        <v>46324</v>
      </c>
    </row>
    <row r="19" spans="1:7">
      <c r="A19">
        <v>18</v>
      </c>
      <c r="B19" t="s">
        <v>7</v>
      </c>
      <c r="C19" s="2" t="s">
        <v>8</v>
      </c>
      <c r="D19" s="2" t="s">
        <v>34</v>
      </c>
      <c r="E19" s="3" t="s">
        <v>35</v>
      </c>
      <c r="F19" s="3" t="s">
        <v>11</v>
      </c>
      <c r="G19" s="10">
        <v>46324</v>
      </c>
    </row>
    <row r="20" spans="1:7">
      <c r="A20">
        <v>19</v>
      </c>
      <c r="B20" t="s">
        <v>12</v>
      </c>
      <c r="C20" s="2" t="s">
        <v>8</v>
      </c>
      <c r="D20" s="2" t="s">
        <v>36</v>
      </c>
      <c r="E20" s="3" t="s">
        <v>37</v>
      </c>
      <c r="F20" s="3" t="s">
        <v>11</v>
      </c>
      <c r="G20" s="10">
        <v>46324</v>
      </c>
    </row>
    <row r="21" spans="1:7">
      <c r="A21">
        <v>20</v>
      </c>
      <c r="B21" t="s">
        <v>7</v>
      </c>
      <c r="C21" s="2" t="s">
        <v>8</v>
      </c>
      <c r="D21" s="2" t="s">
        <v>36</v>
      </c>
      <c r="E21" s="3" t="s">
        <v>37</v>
      </c>
      <c r="F21" s="3" t="s">
        <v>11</v>
      </c>
      <c r="G21" s="10">
        <v>46324</v>
      </c>
    </row>
    <row r="22" spans="1:7">
      <c r="A22">
        <v>21</v>
      </c>
      <c r="B22" t="s">
        <v>7</v>
      </c>
      <c r="C22" s="2" t="s">
        <v>8</v>
      </c>
      <c r="D22" s="2" t="s">
        <v>9</v>
      </c>
      <c r="E22" s="3" t="s">
        <v>10</v>
      </c>
      <c r="F22" s="3" t="s">
        <v>11</v>
      </c>
      <c r="G22" s="10">
        <v>46324</v>
      </c>
    </row>
    <row r="23" spans="1:7">
      <c r="A23">
        <v>22</v>
      </c>
      <c r="B23" t="s">
        <v>12</v>
      </c>
      <c r="C23" s="2" t="s">
        <v>8</v>
      </c>
      <c r="D23" s="2" t="s">
        <v>32</v>
      </c>
      <c r="E23" s="3" t="s">
        <v>33</v>
      </c>
      <c r="F23" s="3" t="s">
        <v>11</v>
      </c>
      <c r="G23" s="10">
        <v>46324</v>
      </c>
    </row>
    <row r="24" spans="1:7">
      <c r="A24">
        <v>23</v>
      </c>
      <c r="B24" t="s">
        <v>7</v>
      </c>
      <c r="C24" s="2" t="s">
        <v>8</v>
      </c>
      <c r="D24" s="2" t="s">
        <v>32</v>
      </c>
      <c r="E24" s="3" t="s">
        <v>33</v>
      </c>
      <c r="F24" s="3" t="s">
        <v>11</v>
      </c>
      <c r="G24" s="10">
        <v>46324</v>
      </c>
    </row>
    <row r="25" spans="1:7">
      <c r="A25">
        <v>24</v>
      </c>
      <c r="B25" t="s">
        <v>7</v>
      </c>
      <c r="C25" s="2" t="s">
        <v>8</v>
      </c>
      <c r="D25" s="2" t="s">
        <v>18</v>
      </c>
      <c r="E25" s="3" t="s">
        <v>19</v>
      </c>
      <c r="F25" s="3" t="s">
        <v>11</v>
      </c>
      <c r="G25" s="10">
        <v>46324</v>
      </c>
    </row>
    <row r="26" spans="1:7">
      <c r="A26">
        <v>25</v>
      </c>
      <c r="B26" t="s">
        <v>12</v>
      </c>
      <c r="C26" s="2" t="s">
        <v>13</v>
      </c>
      <c r="D26" s="2" t="s">
        <v>38</v>
      </c>
      <c r="E26" s="3" t="s">
        <v>39</v>
      </c>
      <c r="F26" s="3" t="s">
        <v>11</v>
      </c>
      <c r="G26" s="10">
        <v>46324</v>
      </c>
    </row>
    <row r="27" spans="1:7">
      <c r="A27">
        <v>26</v>
      </c>
      <c r="B27" t="s">
        <v>7</v>
      </c>
      <c r="C27" s="2" t="s">
        <v>8</v>
      </c>
      <c r="D27" s="2" t="s">
        <v>20</v>
      </c>
      <c r="E27" s="3" t="s">
        <v>21</v>
      </c>
      <c r="F27" s="3" t="s">
        <v>11</v>
      </c>
      <c r="G27" s="10">
        <v>46324</v>
      </c>
    </row>
    <row r="28" spans="1:7">
      <c r="A28">
        <v>27</v>
      </c>
      <c r="B28" t="s">
        <v>12</v>
      </c>
      <c r="C28" s="2" t="s">
        <v>13</v>
      </c>
      <c r="D28" s="2" t="s">
        <v>26</v>
      </c>
      <c r="E28" s="3" t="s">
        <v>27</v>
      </c>
      <c r="F28" s="3" t="s">
        <v>11</v>
      </c>
      <c r="G28" s="10">
        <v>46324</v>
      </c>
    </row>
    <row r="29" spans="1:7">
      <c r="A29">
        <v>28</v>
      </c>
      <c r="B29" t="s">
        <v>7</v>
      </c>
      <c r="C29" s="2" t="s">
        <v>8</v>
      </c>
      <c r="D29" s="2" t="s">
        <v>34</v>
      </c>
      <c r="E29" s="3" t="s">
        <v>35</v>
      </c>
      <c r="F29" s="3" t="s">
        <v>11</v>
      </c>
      <c r="G29" s="10">
        <v>46324</v>
      </c>
    </row>
    <row r="30" spans="1:7">
      <c r="A30">
        <v>29</v>
      </c>
      <c r="B30" t="s">
        <v>12</v>
      </c>
      <c r="C30" s="2" t="s">
        <v>8</v>
      </c>
      <c r="D30" s="2" t="s">
        <v>36</v>
      </c>
      <c r="E30" s="3" t="s">
        <v>37</v>
      </c>
      <c r="F30" s="3" t="s">
        <v>11</v>
      </c>
      <c r="G30" s="10">
        <v>46324</v>
      </c>
    </row>
    <row r="31" spans="1:7">
      <c r="A31">
        <v>30</v>
      </c>
      <c r="B31" t="s">
        <v>7</v>
      </c>
      <c r="C31" s="2" t="s">
        <v>8</v>
      </c>
      <c r="D31" s="2" t="s">
        <v>36</v>
      </c>
      <c r="E31" s="3" t="s">
        <v>37</v>
      </c>
      <c r="F31" s="3" t="s">
        <v>11</v>
      </c>
      <c r="G31" s="10">
        <v>46324</v>
      </c>
    </row>
    <row r="32" spans="1:7">
      <c r="A32">
        <v>31</v>
      </c>
      <c r="B32" t="s">
        <v>7</v>
      </c>
      <c r="C32" s="2" t="s">
        <v>8</v>
      </c>
      <c r="D32" s="2" t="s">
        <v>9</v>
      </c>
      <c r="E32" s="3" t="s">
        <v>10</v>
      </c>
      <c r="F32" s="3" t="s">
        <v>11</v>
      </c>
      <c r="G32" s="10">
        <v>46324</v>
      </c>
    </row>
    <row r="33" spans="1:7">
      <c r="A33">
        <v>32</v>
      </c>
      <c r="B33" t="s">
        <v>7</v>
      </c>
      <c r="C33" s="2" t="s">
        <v>8</v>
      </c>
      <c r="D33" s="2" t="s">
        <v>30</v>
      </c>
      <c r="E33" s="3" t="s">
        <v>31</v>
      </c>
      <c r="F33" s="3" t="s">
        <v>11</v>
      </c>
      <c r="G33" s="10">
        <v>46324</v>
      </c>
    </row>
    <row r="34" spans="1:7">
      <c r="A34">
        <v>33</v>
      </c>
      <c r="B34" t="s">
        <v>7</v>
      </c>
      <c r="C34" s="2" t="s">
        <v>8</v>
      </c>
      <c r="D34" s="2" t="s">
        <v>32</v>
      </c>
      <c r="E34" s="3" t="s">
        <v>33</v>
      </c>
      <c r="F34" s="3" t="s">
        <v>11</v>
      </c>
      <c r="G34" s="10">
        <v>46324</v>
      </c>
    </row>
    <row r="35" spans="1:7">
      <c r="A35">
        <v>34</v>
      </c>
      <c r="B35" t="s">
        <v>12</v>
      </c>
      <c r="C35" s="2" t="s">
        <v>13</v>
      </c>
      <c r="D35" s="2" t="s">
        <v>40</v>
      </c>
      <c r="E35" s="3" t="s">
        <v>41</v>
      </c>
      <c r="F35" s="3" t="s">
        <v>11</v>
      </c>
      <c r="G35" s="10">
        <v>46324</v>
      </c>
    </row>
    <row r="36" spans="1:7">
      <c r="A36">
        <v>35</v>
      </c>
      <c r="B36" t="s">
        <v>7</v>
      </c>
      <c r="C36" s="2" t="s">
        <v>8</v>
      </c>
      <c r="D36" s="2" t="s">
        <v>42</v>
      </c>
      <c r="E36" s="3" t="s">
        <v>43</v>
      </c>
      <c r="F36" s="3" t="s">
        <v>11</v>
      </c>
      <c r="G36" s="10">
        <v>46324</v>
      </c>
    </row>
    <row r="37" spans="1:7">
      <c r="A37">
        <v>36</v>
      </c>
      <c r="B37" t="s">
        <v>12</v>
      </c>
      <c r="C37" s="2" t="s">
        <v>8</v>
      </c>
      <c r="D37" s="2" t="s">
        <v>22</v>
      </c>
      <c r="E37" s="3" t="s">
        <v>23</v>
      </c>
      <c r="F37" s="3" t="s">
        <v>11</v>
      </c>
      <c r="G37" s="10">
        <v>46324</v>
      </c>
    </row>
    <row r="38" spans="1:7">
      <c r="A38">
        <v>37</v>
      </c>
      <c r="B38" t="s">
        <v>7</v>
      </c>
      <c r="C38" s="2" t="s">
        <v>8</v>
      </c>
      <c r="D38" s="2" t="s">
        <v>22</v>
      </c>
      <c r="E38" s="3" t="s">
        <v>23</v>
      </c>
      <c r="F38" s="3" t="s">
        <v>11</v>
      </c>
      <c r="G38" s="10">
        <v>46324</v>
      </c>
    </row>
    <row r="39" spans="1:7">
      <c r="A39">
        <v>38</v>
      </c>
      <c r="B39" t="s">
        <v>12</v>
      </c>
      <c r="C39" s="2" t="s">
        <v>8</v>
      </c>
      <c r="D39" s="2" t="s">
        <v>44</v>
      </c>
      <c r="E39" s="3" t="s">
        <v>45</v>
      </c>
      <c r="F39" s="3" t="s">
        <v>11</v>
      </c>
      <c r="G39" s="10">
        <v>46324</v>
      </c>
    </row>
    <row r="40" spans="1:7">
      <c r="A40">
        <v>39</v>
      </c>
      <c r="B40" t="s">
        <v>7</v>
      </c>
      <c r="C40" s="2" t="s">
        <v>8</v>
      </c>
      <c r="D40" s="2" t="s">
        <v>44</v>
      </c>
      <c r="E40" s="3" t="s">
        <v>45</v>
      </c>
      <c r="F40" s="3" t="s">
        <v>11</v>
      </c>
      <c r="G40" s="10">
        <v>46324</v>
      </c>
    </row>
    <row r="41" spans="1:7">
      <c r="A41">
        <v>40</v>
      </c>
      <c r="B41" t="s">
        <v>12</v>
      </c>
      <c r="C41" s="2" t="s">
        <v>8</v>
      </c>
      <c r="D41" s="2" t="s">
        <v>9</v>
      </c>
      <c r="E41" s="3" t="s">
        <v>10</v>
      </c>
      <c r="F41" s="3" t="s">
        <v>11</v>
      </c>
      <c r="G41" s="10">
        <v>46324</v>
      </c>
    </row>
    <row r="42" spans="1:7">
      <c r="A42">
        <v>41</v>
      </c>
      <c r="B42" t="s">
        <v>7</v>
      </c>
      <c r="C42" s="2" t="s">
        <v>13</v>
      </c>
      <c r="D42" s="2" t="s">
        <v>46</v>
      </c>
      <c r="E42" s="3" t="s">
        <v>47</v>
      </c>
      <c r="F42" s="3" t="s">
        <v>11</v>
      </c>
      <c r="G42" s="10">
        <v>46324</v>
      </c>
    </row>
    <row r="43" spans="1:7">
      <c r="A43">
        <v>42</v>
      </c>
      <c r="B43" t="s">
        <v>12</v>
      </c>
      <c r="C43" s="2" t="s">
        <v>13</v>
      </c>
      <c r="D43" s="2" t="s">
        <v>14</v>
      </c>
      <c r="E43" s="3" t="s">
        <v>15</v>
      </c>
      <c r="F43" s="3" t="s">
        <v>11</v>
      </c>
      <c r="G43" s="10">
        <v>46324</v>
      </c>
    </row>
    <row r="44" spans="1:7">
      <c r="A44">
        <v>43</v>
      </c>
      <c r="B44" t="s">
        <v>7</v>
      </c>
      <c r="C44" s="2" t="s">
        <v>8</v>
      </c>
      <c r="D44" s="2" t="s">
        <v>32</v>
      </c>
      <c r="E44" s="3" t="s">
        <v>33</v>
      </c>
      <c r="F44" s="3" t="s">
        <v>11</v>
      </c>
      <c r="G44" s="10">
        <v>46324</v>
      </c>
    </row>
    <row r="45" spans="1:7">
      <c r="A45">
        <v>44</v>
      </c>
      <c r="B45" t="s">
        <v>7</v>
      </c>
      <c r="C45" s="2" t="s">
        <v>13</v>
      </c>
      <c r="D45" s="2" t="s">
        <v>16</v>
      </c>
      <c r="E45" s="3" t="s">
        <v>17</v>
      </c>
      <c r="F45" s="3" t="s">
        <v>11</v>
      </c>
      <c r="G45" s="10">
        <v>46324</v>
      </c>
    </row>
    <row r="46" spans="1:7">
      <c r="A46">
        <v>45</v>
      </c>
      <c r="B46" t="s">
        <v>12</v>
      </c>
      <c r="C46" s="2" t="s">
        <v>8</v>
      </c>
      <c r="D46" s="2" t="s">
        <v>20</v>
      </c>
      <c r="E46" s="3" t="s">
        <v>21</v>
      </c>
      <c r="F46" s="3" t="s">
        <v>11</v>
      </c>
      <c r="G46" s="10">
        <v>46324</v>
      </c>
    </row>
    <row r="47" spans="1:7">
      <c r="A47">
        <v>46</v>
      </c>
      <c r="B47" t="s">
        <v>7</v>
      </c>
      <c r="C47" s="2" t="s">
        <v>8</v>
      </c>
      <c r="D47" s="2" t="s">
        <v>20</v>
      </c>
      <c r="E47" s="3" t="s">
        <v>21</v>
      </c>
      <c r="F47" s="3" t="s">
        <v>11</v>
      </c>
      <c r="G47" s="10">
        <v>46324</v>
      </c>
    </row>
    <row r="48" spans="1:7">
      <c r="A48">
        <v>47</v>
      </c>
      <c r="B48" t="s">
        <v>7</v>
      </c>
      <c r="C48" s="2" t="s">
        <v>8</v>
      </c>
      <c r="D48" s="2" t="s">
        <v>22</v>
      </c>
      <c r="E48" s="3" t="s">
        <v>23</v>
      </c>
      <c r="F48" s="3" t="s">
        <v>11</v>
      </c>
      <c r="G48" s="10">
        <v>46324</v>
      </c>
    </row>
    <row r="49" spans="1:7">
      <c r="A49">
        <v>48</v>
      </c>
      <c r="B49" t="s">
        <v>12</v>
      </c>
      <c r="C49" s="2" t="s">
        <v>13</v>
      </c>
      <c r="D49" s="2" t="s">
        <v>48</v>
      </c>
      <c r="E49" s="3" t="s">
        <v>49</v>
      </c>
      <c r="F49" s="3" t="s">
        <v>11</v>
      </c>
      <c r="G49" s="10">
        <v>46324</v>
      </c>
    </row>
    <row r="50" spans="1:7">
      <c r="A50">
        <v>49</v>
      </c>
      <c r="B50" t="s">
        <v>12</v>
      </c>
      <c r="C50" s="2" t="s">
        <v>8</v>
      </c>
      <c r="D50" s="2" t="s">
        <v>36</v>
      </c>
      <c r="E50" s="3" t="s">
        <v>37</v>
      </c>
      <c r="F50" s="3" t="s">
        <v>11</v>
      </c>
      <c r="G50" s="10">
        <v>46324</v>
      </c>
    </row>
    <row r="51" spans="1:7">
      <c r="A51">
        <v>50</v>
      </c>
      <c r="B51" t="s">
        <v>7</v>
      </c>
      <c r="C51" s="2" t="s">
        <v>8</v>
      </c>
      <c r="D51" s="2" t="s">
        <v>36</v>
      </c>
      <c r="E51" s="3" t="s">
        <v>37</v>
      </c>
      <c r="F51" s="3" t="s">
        <v>11</v>
      </c>
      <c r="G51" s="10">
        <v>46324</v>
      </c>
    </row>
    <row r="52" spans="1:7">
      <c r="A52">
        <v>51</v>
      </c>
      <c r="B52" t="s">
        <v>12</v>
      </c>
      <c r="C52" s="2" t="s">
        <v>13</v>
      </c>
      <c r="D52" s="2" t="s">
        <v>50</v>
      </c>
      <c r="E52" s="3" t="s">
        <v>51</v>
      </c>
      <c r="F52" s="3" t="s">
        <v>11</v>
      </c>
      <c r="G52" s="10">
        <v>46324</v>
      </c>
    </row>
    <row r="53" spans="1:7">
      <c r="A53">
        <v>52</v>
      </c>
      <c r="B53" t="s">
        <v>12</v>
      </c>
      <c r="C53" s="2" t="s">
        <v>8</v>
      </c>
      <c r="D53" s="2" t="s">
        <v>32</v>
      </c>
      <c r="E53" s="3" t="s">
        <v>33</v>
      </c>
      <c r="F53" s="3" t="s">
        <v>11</v>
      </c>
      <c r="G53" s="10">
        <v>46324</v>
      </c>
    </row>
    <row r="54" spans="1:7">
      <c r="A54">
        <v>53</v>
      </c>
      <c r="B54" t="s">
        <v>7</v>
      </c>
      <c r="C54" s="2" t="s">
        <v>8</v>
      </c>
      <c r="D54" s="2" t="s">
        <v>32</v>
      </c>
      <c r="E54" s="3" t="s">
        <v>33</v>
      </c>
      <c r="F54" s="3" t="s">
        <v>11</v>
      </c>
      <c r="G54" s="10">
        <v>46324</v>
      </c>
    </row>
    <row r="55" spans="1:7">
      <c r="A55">
        <v>54</v>
      </c>
      <c r="B55" t="s">
        <v>7</v>
      </c>
      <c r="C55" s="2" t="s">
        <v>8</v>
      </c>
      <c r="D55" s="2" t="s">
        <v>18</v>
      </c>
      <c r="E55" s="3" t="s">
        <v>19</v>
      </c>
      <c r="F55" s="3" t="s">
        <v>11</v>
      </c>
      <c r="G55" s="10">
        <v>46324</v>
      </c>
    </row>
    <row r="56" spans="1:7">
      <c r="A56">
        <v>55</v>
      </c>
      <c r="B56" t="s">
        <v>12</v>
      </c>
      <c r="C56" s="2" t="s">
        <v>13</v>
      </c>
      <c r="D56" s="2" t="s">
        <v>38</v>
      </c>
      <c r="E56" s="3" t="s">
        <v>39</v>
      </c>
      <c r="F56" s="3" t="s">
        <v>11</v>
      </c>
      <c r="G56" s="10">
        <v>46324</v>
      </c>
    </row>
    <row r="57" spans="1:7">
      <c r="A57">
        <v>56</v>
      </c>
      <c r="B57" t="s">
        <v>12</v>
      </c>
      <c r="C57" s="2" t="s">
        <v>13</v>
      </c>
      <c r="D57" s="2" t="s">
        <v>24</v>
      </c>
      <c r="E57" s="3" t="s">
        <v>25</v>
      </c>
      <c r="F57" s="3" t="s">
        <v>11</v>
      </c>
      <c r="G57" s="10">
        <v>46324</v>
      </c>
    </row>
    <row r="58" spans="1:7">
      <c r="A58">
        <v>57</v>
      </c>
      <c r="B58" t="s">
        <v>7</v>
      </c>
      <c r="C58" s="2" t="s">
        <v>8</v>
      </c>
      <c r="D58" s="2" t="s">
        <v>22</v>
      </c>
      <c r="E58" s="3" t="s">
        <v>23</v>
      </c>
      <c r="F58" s="3" t="s">
        <v>11</v>
      </c>
      <c r="G58" s="10">
        <v>46324</v>
      </c>
    </row>
    <row r="59" spans="1:7">
      <c r="A59">
        <v>58</v>
      </c>
      <c r="B59" t="s">
        <v>7</v>
      </c>
      <c r="C59" s="2" t="s">
        <v>8</v>
      </c>
      <c r="D59" s="2" t="s">
        <v>34</v>
      </c>
      <c r="E59" s="3" t="s">
        <v>35</v>
      </c>
      <c r="F59" s="3" t="s">
        <v>11</v>
      </c>
      <c r="G59" s="10">
        <v>46324</v>
      </c>
    </row>
    <row r="60" spans="1:7">
      <c r="A60">
        <v>59</v>
      </c>
      <c r="B60" t="s">
        <v>12</v>
      </c>
      <c r="C60" s="2" t="s">
        <v>8</v>
      </c>
      <c r="D60" s="2" t="s">
        <v>36</v>
      </c>
      <c r="E60" s="3" t="s">
        <v>37</v>
      </c>
      <c r="F60" s="3" t="s">
        <v>11</v>
      </c>
      <c r="G60" s="10">
        <v>46324</v>
      </c>
    </row>
    <row r="61" spans="1:7">
      <c r="A61">
        <v>60</v>
      </c>
      <c r="B61" t="s">
        <v>7</v>
      </c>
      <c r="C61" s="2" t="s">
        <v>8</v>
      </c>
      <c r="D61" s="2" t="s">
        <v>36</v>
      </c>
      <c r="E61" s="3" t="s">
        <v>37</v>
      </c>
      <c r="F61" s="3" t="s">
        <v>11</v>
      </c>
      <c r="G61" s="10">
        <v>46324</v>
      </c>
    </row>
    <row r="62" spans="1:7">
      <c r="A62">
        <v>61</v>
      </c>
      <c r="B62" t="s">
        <v>12</v>
      </c>
      <c r="C62" s="2" t="s">
        <v>8</v>
      </c>
      <c r="D62" s="2" t="s">
        <v>30</v>
      </c>
      <c r="E62" s="3" t="s">
        <v>31</v>
      </c>
      <c r="F62" s="3" t="s">
        <v>11</v>
      </c>
      <c r="G62" s="10">
        <v>46324</v>
      </c>
    </row>
    <row r="63" spans="1:7">
      <c r="A63">
        <v>62</v>
      </c>
      <c r="B63" t="s">
        <v>12</v>
      </c>
      <c r="C63" s="2" t="s">
        <v>8</v>
      </c>
      <c r="D63" s="2" t="s">
        <v>32</v>
      </c>
      <c r="E63" s="3" t="s">
        <v>33</v>
      </c>
      <c r="F63" s="3" t="s">
        <v>11</v>
      </c>
      <c r="G63" s="10">
        <v>46324</v>
      </c>
    </row>
    <row r="64" spans="1:7">
      <c r="A64">
        <v>63</v>
      </c>
      <c r="B64" t="s">
        <v>7</v>
      </c>
      <c r="C64" s="2" t="s">
        <v>8</v>
      </c>
      <c r="D64" s="2" t="s">
        <v>32</v>
      </c>
      <c r="E64" s="3" t="s">
        <v>33</v>
      </c>
      <c r="F64" s="3" t="s">
        <v>11</v>
      </c>
      <c r="G64" s="10">
        <v>46324</v>
      </c>
    </row>
    <row r="65" spans="1:7">
      <c r="A65">
        <v>64</v>
      </c>
      <c r="B65" t="s">
        <v>12</v>
      </c>
      <c r="C65" s="2" t="s">
        <v>13</v>
      </c>
      <c r="D65" s="2" t="s">
        <v>40</v>
      </c>
      <c r="E65" s="3" t="s">
        <v>41</v>
      </c>
      <c r="F65" s="3" t="s">
        <v>11</v>
      </c>
      <c r="G65" s="10">
        <v>46324</v>
      </c>
    </row>
    <row r="66" spans="1:7">
      <c r="A66">
        <v>65</v>
      </c>
      <c r="B66" t="s">
        <v>12</v>
      </c>
      <c r="C66" s="2" t="s">
        <v>13</v>
      </c>
      <c r="D66" s="2" t="s">
        <v>38</v>
      </c>
      <c r="E66" s="3" t="s">
        <v>39</v>
      </c>
      <c r="F66" s="3" t="s">
        <v>11</v>
      </c>
      <c r="G66" s="10">
        <v>46324</v>
      </c>
    </row>
    <row r="67" spans="1:7">
      <c r="A67">
        <v>66</v>
      </c>
      <c r="B67" t="s">
        <v>7</v>
      </c>
      <c r="C67" s="2" t="s">
        <v>8</v>
      </c>
      <c r="D67" s="2" t="s">
        <v>20</v>
      </c>
      <c r="E67" s="3" t="s">
        <v>21</v>
      </c>
      <c r="F67" s="3" t="s">
        <v>11</v>
      </c>
      <c r="G67" s="10">
        <v>46324</v>
      </c>
    </row>
    <row r="68" spans="1:7">
      <c r="A68">
        <v>67</v>
      </c>
      <c r="B68" t="s">
        <v>7</v>
      </c>
      <c r="C68" s="2" t="s">
        <v>13</v>
      </c>
      <c r="D68" s="2" t="s">
        <v>24</v>
      </c>
      <c r="E68" s="3" t="s">
        <v>25</v>
      </c>
      <c r="F68" s="3" t="s">
        <v>11</v>
      </c>
      <c r="G68" s="10">
        <v>46324</v>
      </c>
    </row>
    <row r="69" spans="1:7">
      <c r="A69">
        <v>68</v>
      </c>
      <c r="B69" t="s">
        <v>7</v>
      </c>
      <c r="C69" s="2" t="s">
        <v>8</v>
      </c>
      <c r="D69" s="2" t="s">
        <v>34</v>
      </c>
      <c r="E69" s="3" t="s">
        <v>35</v>
      </c>
      <c r="F69" s="3" t="s">
        <v>11</v>
      </c>
      <c r="G69" s="10">
        <v>46324</v>
      </c>
    </row>
    <row r="70" spans="1:7">
      <c r="A70">
        <v>69</v>
      </c>
      <c r="B70" t="s">
        <v>7</v>
      </c>
      <c r="C70" s="2" t="s">
        <v>13</v>
      </c>
      <c r="D70" s="2" t="s">
        <v>48</v>
      </c>
      <c r="E70" s="3" t="s">
        <v>49</v>
      </c>
      <c r="F70" s="3" t="s">
        <v>11</v>
      </c>
      <c r="G70" s="10">
        <v>46324</v>
      </c>
    </row>
    <row r="71" spans="1:7">
      <c r="A71">
        <v>70</v>
      </c>
      <c r="B71" t="s">
        <v>7</v>
      </c>
      <c r="C71" s="2" t="s">
        <v>13</v>
      </c>
      <c r="D71" s="2" t="s">
        <v>28</v>
      </c>
      <c r="E71" s="3" t="s">
        <v>29</v>
      </c>
      <c r="F71" s="3" t="s">
        <v>11</v>
      </c>
      <c r="G71" s="10">
        <v>46324</v>
      </c>
    </row>
    <row r="72" spans="1:7">
      <c r="A72">
        <v>71</v>
      </c>
      <c r="B72" t="s">
        <v>7</v>
      </c>
      <c r="C72" s="2" t="s">
        <v>13</v>
      </c>
      <c r="D72" s="2" t="s">
        <v>46</v>
      </c>
      <c r="E72" s="3" t="s">
        <v>47</v>
      </c>
      <c r="F72" s="3" t="s">
        <v>11</v>
      </c>
      <c r="G72" s="10">
        <v>46324</v>
      </c>
    </row>
    <row r="73" spans="1:7">
      <c r="A73">
        <v>72</v>
      </c>
      <c r="B73" t="s">
        <v>12</v>
      </c>
      <c r="C73" s="2" t="s">
        <v>8</v>
      </c>
      <c r="D73" s="2" t="s">
        <v>32</v>
      </c>
      <c r="E73" s="3" t="s">
        <v>33</v>
      </c>
      <c r="F73" s="3" t="s">
        <v>11</v>
      </c>
      <c r="G73" s="10">
        <v>46324</v>
      </c>
    </row>
    <row r="74" spans="1:7">
      <c r="A74">
        <v>73</v>
      </c>
      <c r="B74" t="s">
        <v>12</v>
      </c>
      <c r="C74" s="2" t="s">
        <v>8</v>
      </c>
      <c r="D74" s="2" t="s">
        <v>18</v>
      </c>
      <c r="E74" s="3" t="s">
        <v>19</v>
      </c>
      <c r="F74" s="3" t="s">
        <v>11</v>
      </c>
      <c r="G74" s="10">
        <v>46324</v>
      </c>
    </row>
    <row r="75" spans="1:7">
      <c r="A75">
        <v>74</v>
      </c>
      <c r="B75" t="s">
        <v>12</v>
      </c>
      <c r="C75" s="2" t="s">
        <v>8</v>
      </c>
      <c r="D75" s="2" t="s">
        <v>42</v>
      </c>
      <c r="E75" s="3" t="s">
        <v>43</v>
      </c>
      <c r="F75" s="3" t="s">
        <v>11</v>
      </c>
      <c r="G75" s="10">
        <v>46324</v>
      </c>
    </row>
    <row r="76" spans="1:7">
      <c r="A76">
        <v>75</v>
      </c>
      <c r="B76" t="s">
        <v>12</v>
      </c>
      <c r="C76" s="2" t="s">
        <v>13</v>
      </c>
      <c r="D76" s="2" t="s">
        <v>38</v>
      </c>
      <c r="E76" s="3" t="s">
        <v>39</v>
      </c>
      <c r="F76" s="3" t="s">
        <v>11</v>
      </c>
      <c r="G76" s="10">
        <v>46324</v>
      </c>
    </row>
    <row r="77" spans="1:7">
      <c r="A77">
        <v>76</v>
      </c>
      <c r="B77" t="s">
        <v>12</v>
      </c>
      <c r="C77" s="2" t="s">
        <v>13</v>
      </c>
      <c r="D77" s="2" t="s">
        <v>24</v>
      </c>
      <c r="E77" s="3" t="s">
        <v>25</v>
      </c>
      <c r="F77" s="3" t="s">
        <v>11</v>
      </c>
      <c r="G77" s="10">
        <v>46324</v>
      </c>
    </row>
    <row r="78" spans="1:7">
      <c r="A78">
        <v>77</v>
      </c>
      <c r="B78" t="s">
        <v>12</v>
      </c>
      <c r="C78" s="2" t="s">
        <v>8</v>
      </c>
      <c r="D78" s="2" t="s">
        <v>34</v>
      </c>
      <c r="E78" s="3" t="s">
        <v>35</v>
      </c>
      <c r="F78" s="3" t="s">
        <v>11</v>
      </c>
      <c r="G78" s="10">
        <v>46324</v>
      </c>
    </row>
    <row r="79" spans="1:7">
      <c r="A79">
        <v>78</v>
      </c>
      <c r="B79" t="s">
        <v>7</v>
      </c>
      <c r="C79" s="2" t="s">
        <v>8</v>
      </c>
      <c r="D79" s="2" t="s">
        <v>34</v>
      </c>
      <c r="E79" s="3" t="s">
        <v>35</v>
      </c>
      <c r="F79" s="3" t="s">
        <v>11</v>
      </c>
      <c r="G79" s="10">
        <v>46324</v>
      </c>
    </row>
    <row r="80" spans="1:7">
      <c r="A80">
        <v>79</v>
      </c>
      <c r="B80" t="s">
        <v>12</v>
      </c>
      <c r="C80" s="2" t="s">
        <v>13</v>
      </c>
      <c r="D80" s="2" t="s">
        <v>28</v>
      </c>
      <c r="E80" s="3" t="s">
        <v>29</v>
      </c>
      <c r="F80" s="3" t="s">
        <v>11</v>
      </c>
      <c r="G80" s="10">
        <v>46324</v>
      </c>
    </row>
    <row r="81" spans="1:7">
      <c r="A81">
        <v>80</v>
      </c>
      <c r="B81" t="s">
        <v>12</v>
      </c>
      <c r="C81" s="2" t="s">
        <v>13</v>
      </c>
      <c r="D81" s="2" t="s">
        <v>46</v>
      </c>
      <c r="E81" s="3" t="s">
        <v>47</v>
      </c>
      <c r="F81" s="3" t="s">
        <v>11</v>
      </c>
      <c r="G81" s="10">
        <v>46324</v>
      </c>
    </row>
    <row r="82" spans="1:7">
      <c r="A82">
        <v>81</v>
      </c>
      <c r="B82" t="s">
        <v>12</v>
      </c>
      <c r="C82" s="2" t="s">
        <v>8</v>
      </c>
      <c r="D82" s="2" t="s">
        <v>30</v>
      </c>
      <c r="E82" s="3" t="s">
        <v>31</v>
      </c>
      <c r="F82" s="3" t="s">
        <v>11</v>
      </c>
      <c r="G82" s="10">
        <v>46324</v>
      </c>
    </row>
    <row r="83" spans="1:7">
      <c r="A83">
        <v>82</v>
      </c>
      <c r="B83" t="s">
        <v>7</v>
      </c>
      <c r="C83" s="2" t="s">
        <v>13</v>
      </c>
      <c r="D83" s="2" t="s">
        <v>50</v>
      </c>
      <c r="E83" s="3" t="s">
        <v>51</v>
      </c>
      <c r="F83" s="3" t="s">
        <v>11</v>
      </c>
      <c r="G83" s="10">
        <v>46324</v>
      </c>
    </row>
    <row r="84" spans="1:7">
      <c r="A84">
        <v>83</v>
      </c>
      <c r="B84" t="s">
        <v>12</v>
      </c>
      <c r="C84" s="2" t="s">
        <v>8</v>
      </c>
      <c r="D84" s="2" t="s">
        <v>18</v>
      </c>
      <c r="E84" s="3" t="s">
        <v>19</v>
      </c>
      <c r="F84" s="3" t="s">
        <v>11</v>
      </c>
      <c r="G84" s="10">
        <v>46324</v>
      </c>
    </row>
    <row r="85" spans="1:7">
      <c r="A85">
        <v>84</v>
      </c>
      <c r="B85" t="s">
        <v>7</v>
      </c>
      <c r="C85" s="2" t="s">
        <v>8</v>
      </c>
      <c r="D85" s="2" t="s">
        <v>18</v>
      </c>
      <c r="E85" s="3" t="s">
        <v>19</v>
      </c>
      <c r="F85" s="3" t="s">
        <v>11</v>
      </c>
      <c r="G85" s="10">
        <v>46324</v>
      </c>
    </row>
    <row r="86" spans="1:7">
      <c r="A86">
        <v>85</v>
      </c>
      <c r="B86" t="s">
        <v>12</v>
      </c>
      <c r="C86" s="2" t="s">
        <v>8</v>
      </c>
      <c r="D86" s="2" t="s">
        <v>20</v>
      </c>
      <c r="E86" s="3" t="s">
        <v>21</v>
      </c>
      <c r="F86" s="3" t="s">
        <v>11</v>
      </c>
      <c r="G86" s="10">
        <v>46324</v>
      </c>
    </row>
    <row r="87" spans="1:7">
      <c r="A87">
        <v>86</v>
      </c>
      <c r="B87" t="s">
        <v>12</v>
      </c>
      <c r="C87" s="2" t="s">
        <v>8</v>
      </c>
      <c r="D87" s="2" t="s">
        <v>22</v>
      </c>
      <c r="E87" s="3" t="s">
        <v>23</v>
      </c>
      <c r="F87" s="3" t="s">
        <v>11</v>
      </c>
      <c r="G87" s="10">
        <v>46324</v>
      </c>
    </row>
    <row r="88" spans="1:7">
      <c r="A88">
        <v>87</v>
      </c>
      <c r="B88" t="s">
        <v>12</v>
      </c>
      <c r="C88" s="2" t="s">
        <v>8</v>
      </c>
      <c r="D88" s="2" t="s">
        <v>34</v>
      </c>
      <c r="E88" s="3" t="s">
        <v>35</v>
      </c>
      <c r="F88" s="3" t="s">
        <v>11</v>
      </c>
      <c r="G88" s="10">
        <v>46324</v>
      </c>
    </row>
    <row r="89" spans="1:7">
      <c r="A89">
        <v>88</v>
      </c>
      <c r="B89" t="s">
        <v>12</v>
      </c>
      <c r="C89" s="2" t="s">
        <v>13</v>
      </c>
      <c r="D89" s="2" t="s">
        <v>48</v>
      </c>
      <c r="E89" s="3" t="s">
        <v>49</v>
      </c>
      <c r="F89" s="3" t="s">
        <v>11</v>
      </c>
      <c r="G89" s="10">
        <v>46324</v>
      </c>
    </row>
    <row r="90" spans="1:7">
      <c r="A90">
        <v>89</v>
      </c>
      <c r="B90" t="s">
        <v>7</v>
      </c>
      <c r="C90" s="2" t="s">
        <v>13</v>
      </c>
      <c r="D90" s="2" t="s">
        <v>48</v>
      </c>
      <c r="E90" s="3" t="s">
        <v>49</v>
      </c>
      <c r="F90" s="3" t="s">
        <v>11</v>
      </c>
      <c r="G90" s="10">
        <v>46324</v>
      </c>
    </row>
    <row r="91" spans="1:7">
      <c r="A91">
        <v>90</v>
      </c>
      <c r="B91" t="s">
        <v>7</v>
      </c>
      <c r="C91" s="2" t="s">
        <v>8</v>
      </c>
      <c r="D91" s="2" t="s">
        <v>36</v>
      </c>
      <c r="E91" s="3" t="s">
        <v>37</v>
      </c>
      <c r="F91" s="3" t="s">
        <v>11</v>
      </c>
      <c r="G91" s="10">
        <v>46324</v>
      </c>
    </row>
    <row r="92" spans="1:7">
      <c r="A92">
        <v>91</v>
      </c>
      <c r="B92" t="s">
        <v>7</v>
      </c>
      <c r="C92" s="2" t="s">
        <v>8</v>
      </c>
      <c r="D92" s="2" t="s">
        <v>9</v>
      </c>
      <c r="E92" s="3" t="s">
        <v>10</v>
      </c>
      <c r="F92" s="3" t="s">
        <v>11</v>
      </c>
      <c r="G92" s="10">
        <v>46324</v>
      </c>
    </row>
    <row r="93" spans="1:7">
      <c r="A93">
        <v>92</v>
      </c>
      <c r="B93" t="s">
        <v>7</v>
      </c>
      <c r="C93" s="2" t="s">
        <v>8</v>
      </c>
      <c r="D93" s="2" t="s">
        <v>30</v>
      </c>
      <c r="E93" s="3" t="s">
        <v>31</v>
      </c>
      <c r="F93" s="3" t="s">
        <v>11</v>
      </c>
      <c r="G93" s="10">
        <v>46324</v>
      </c>
    </row>
    <row r="94" spans="1:7">
      <c r="A94">
        <v>93</v>
      </c>
      <c r="B94" t="s">
        <v>12</v>
      </c>
      <c r="C94" s="2" t="s">
        <v>8</v>
      </c>
      <c r="D94" s="2" t="s">
        <v>18</v>
      </c>
      <c r="E94" s="3" t="s">
        <v>19</v>
      </c>
      <c r="F94" s="3" t="s">
        <v>11</v>
      </c>
      <c r="G94" s="10">
        <v>46324</v>
      </c>
    </row>
    <row r="95" spans="1:7">
      <c r="A95">
        <v>94</v>
      </c>
      <c r="B95" t="s">
        <v>12</v>
      </c>
      <c r="C95" s="2" t="s">
        <v>8</v>
      </c>
      <c r="D95" s="2" t="s">
        <v>42</v>
      </c>
      <c r="E95" s="3" t="s">
        <v>43</v>
      </c>
      <c r="F95" s="3" t="s">
        <v>11</v>
      </c>
      <c r="G95" s="10">
        <v>46324</v>
      </c>
    </row>
    <row r="96" spans="1:7">
      <c r="A96">
        <v>95</v>
      </c>
      <c r="B96" t="s">
        <v>7</v>
      </c>
      <c r="C96" s="2" t="s">
        <v>8</v>
      </c>
      <c r="D96" s="2" t="s">
        <v>42</v>
      </c>
      <c r="E96" s="3" t="s">
        <v>43</v>
      </c>
      <c r="F96" s="3" t="s">
        <v>11</v>
      </c>
      <c r="G96" s="10">
        <v>46324</v>
      </c>
    </row>
    <row r="97" spans="1:7">
      <c r="A97">
        <v>96</v>
      </c>
      <c r="B97" t="s">
        <v>12</v>
      </c>
      <c r="C97" s="2" t="s">
        <v>13</v>
      </c>
      <c r="D97" s="2" t="s">
        <v>24</v>
      </c>
      <c r="E97" s="3" t="s">
        <v>25</v>
      </c>
      <c r="F97" s="3" t="s">
        <v>11</v>
      </c>
      <c r="G97" s="10">
        <v>46324</v>
      </c>
    </row>
    <row r="98" spans="1:7">
      <c r="A98">
        <v>97</v>
      </c>
      <c r="B98" t="s">
        <v>7</v>
      </c>
      <c r="C98" s="2" t="s">
        <v>8</v>
      </c>
      <c r="D98" s="2" t="s">
        <v>22</v>
      </c>
      <c r="E98" s="3" t="s">
        <v>23</v>
      </c>
      <c r="F98" s="3" t="s">
        <v>11</v>
      </c>
      <c r="G98" s="10">
        <v>46324</v>
      </c>
    </row>
    <row r="99" spans="1:7">
      <c r="A99">
        <v>98</v>
      </c>
      <c r="B99" t="s">
        <v>12</v>
      </c>
      <c r="C99" s="2" t="s">
        <v>8</v>
      </c>
      <c r="D99" s="2" t="s">
        <v>44</v>
      </c>
      <c r="E99" s="3" t="s">
        <v>45</v>
      </c>
      <c r="F99" s="3" t="s">
        <v>11</v>
      </c>
      <c r="G99" s="10">
        <v>46324</v>
      </c>
    </row>
    <row r="100" spans="1:7">
      <c r="A100">
        <v>99</v>
      </c>
      <c r="B100" t="s">
        <v>7</v>
      </c>
      <c r="C100" s="2" t="s">
        <v>8</v>
      </c>
      <c r="D100" s="2" t="s">
        <v>44</v>
      </c>
      <c r="E100" s="3" t="s">
        <v>45</v>
      </c>
      <c r="F100" s="3" t="s">
        <v>11</v>
      </c>
      <c r="G100" s="10">
        <v>46324</v>
      </c>
    </row>
    <row r="101" spans="1:7">
      <c r="A101">
        <v>100</v>
      </c>
      <c r="B101" t="s">
        <v>7</v>
      </c>
      <c r="C101" s="2" t="s">
        <v>8</v>
      </c>
      <c r="D101" s="2" t="s">
        <v>36</v>
      </c>
      <c r="E101" s="3" t="s">
        <v>37</v>
      </c>
      <c r="F101" s="3" t="s">
        <v>11</v>
      </c>
      <c r="G101" s="10">
        <v>46324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4.25"/>
  <cols>
    <col min="1" max="1" width="48" customWidth="1"/>
    <col min="2" max="3" width="24" customWidth="1"/>
    <col min="4" max="4" width="23" customWidth="1"/>
  </cols>
  <sheetData>
    <row r="1" spans="1:4" ht="30" customHeight="1">
      <c r="A1" s="5" t="s">
        <v>52</v>
      </c>
      <c r="B1" s="5" t="s">
        <v>53</v>
      </c>
      <c r="C1" s="5" t="s">
        <v>54</v>
      </c>
      <c r="D1" s="5" t="s">
        <v>55</v>
      </c>
    </row>
    <row r="2" spans="1:4" ht="15">
      <c r="A2" s="6" t="s">
        <v>56</v>
      </c>
      <c r="B2">
        <f>COUNTIF('AI Visitor Trials'!$B$2:$B$101,"A")</f>
        <v>50</v>
      </c>
      <c r="C2">
        <f>COUNTIF('AI Visitor Trials'!$B$2:$B$101,"B")</f>
        <v>50</v>
      </c>
    </row>
    <row r="3" spans="1:4" ht="15">
      <c r="A3" s="6" t="s">
        <v>57</v>
      </c>
      <c r="B3">
        <f>COUNTIFS('AI Visitor Trials'!$B$2:$B$101,"A",'AI Visitor Trials'!$C$2:$C$101,"YES")</f>
        <v>31</v>
      </c>
      <c r="C3">
        <f>COUNTIFS('AI Visitor Trials'!$B$2:$B$101,"B",'AI Visitor Trials'!$C$2:$C$101,"YES")</f>
        <v>39</v>
      </c>
    </row>
    <row r="4" spans="1:4" ht="15">
      <c r="A4" s="6" t="s">
        <v>58</v>
      </c>
      <c r="B4">
        <f>COUNTIFS('AI Visitor Trials'!$B$2:$B$101,"A",'AI Visitor Trials'!$C$2:$C$101,"YES")+COUNTIFS('AI Visitor Trials'!$B$2:$B$101,"A",'AI Visitor Trials'!$C$2:$C$101,"NO")</f>
        <v>50</v>
      </c>
      <c r="C4">
        <f>COUNTIFS('AI Visitor Trials'!$B$2:$B$101,"B",'AI Visitor Trials'!$C$2:$C$101,"YES")+COUNTIFS('AI Visitor Trials'!$B$2:$B$101,"B",'AI Visitor Trials'!$C$2:$C$101,"NO")</f>
        <v>50</v>
      </c>
    </row>
    <row r="5" spans="1:4" ht="24.95" customHeight="1">
      <c r="A5" s="6" t="s">
        <v>59</v>
      </c>
      <c r="B5" s="7">
        <f>IFERROR(B3/B4,0)</f>
        <v>0.62</v>
      </c>
      <c r="C5" s="7">
        <f>IFERROR(C3/C4,0)</f>
        <v>0.78</v>
      </c>
      <c r="D5" s="7">
        <f>C5-B5</f>
        <v>0.16000000000000003</v>
      </c>
    </row>
    <row r="7" spans="1:4" ht="15">
      <c r="A7" s="9" t="s">
        <v>60</v>
      </c>
      <c r="B7" s="9"/>
      <c r="C7" s="9"/>
      <c r="D7" s="9"/>
    </row>
    <row r="8" spans="1:4" ht="38.1" customHeight="1">
      <c r="A8" s="8" t="s">
        <v>61</v>
      </c>
      <c r="B8" s="8"/>
      <c r="C8" s="8"/>
      <c r="D8" s="8"/>
    </row>
    <row r="9" spans="1:4" ht="38.1" customHeight="1">
      <c r="A9" s="8" t="s">
        <v>62</v>
      </c>
      <c r="B9" s="8"/>
      <c r="C9" s="8"/>
      <c r="D9" s="8"/>
    </row>
    <row r="11" spans="1:4" ht="15">
      <c r="A11" s="5" t="s">
        <v>63</v>
      </c>
      <c r="B11" s="5"/>
      <c r="C11" s="5"/>
      <c r="D11" s="5"/>
    </row>
    <row r="12" spans="1:4">
      <c r="A12" t="s">
        <v>64</v>
      </c>
      <c r="B12" s="4">
        <f>100*D5</f>
        <v>16.000000000000004</v>
      </c>
    </row>
    <row r="13" spans="1:4" ht="39.950000000000003" customHeight="1">
      <c r="A13" t="s">
        <v>65</v>
      </c>
      <c r="B13" s="8" t="s">
        <v>66</v>
      </c>
    </row>
    <row r="14" spans="1:4" ht="39.950000000000003" customHeight="1">
      <c r="A14" t="s">
        <v>67</v>
      </c>
      <c r="B14" s="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 Visitor Trials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Hill</dc:creator>
  <cp:lastModifiedBy>Maxwell Hill</cp:lastModifiedBy>
  <dcterms:created xsi:type="dcterms:W3CDTF">2026-10-29T22:26:30Z</dcterms:created>
  <dcterms:modified xsi:type="dcterms:W3CDTF">2026-10-29T22:27:29Z</dcterms:modified>
</cp:coreProperties>
</file>